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0490" windowHeight="8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4" i="1"/>
  <c r="N5" i="1"/>
  <c r="N6" i="1"/>
  <c r="N7" i="1"/>
  <c r="N8" i="1"/>
  <c r="N9" i="1"/>
  <c r="N10" i="1"/>
  <c r="N11" i="1"/>
  <c r="N3" i="1"/>
  <c r="N2" i="1"/>
</calcChain>
</file>

<file path=xl/sharedStrings.xml><?xml version="1.0" encoding="utf-8"?>
<sst xmlns="http://schemas.openxmlformats.org/spreadsheetml/2006/main" count="97" uniqueCount="69">
  <si>
    <t>Order_ID</t>
  </si>
  <si>
    <t>Order_Date</t>
  </si>
  <si>
    <t>Customer_Name</t>
  </si>
  <si>
    <t>Region</t>
  </si>
  <si>
    <t>Product</t>
  </si>
  <si>
    <t>Category</t>
  </si>
  <si>
    <t>Quantity</t>
  </si>
  <si>
    <t>Unit_Price</t>
  </si>
  <si>
    <t>Discount</t>
  </si>
  <si>
    <t>Sales_Amount</t>
  </si>
  <si>
    <t>Profit</t>
  </si>
  <si>
    <t>Salesperson</t>
  </si>
  <si>
    <t>ORD1001</t>
  </si>
  <si>
    <t>West</t>
  </si>
  <si>
    <t>Laptops</t>
  </si>
  <si>
    <t>UPI</t>
  </si>
  <si>
    <t>Amit</t>
  </si>
  <si>
    <t>ORD1002</t>
  </si>
  <si>
    <t>South</t>
  </si>
  <si>
    <t>Mobiles</t>
  </si>
  <si>
    <t>Card</t>
  </si>
  <si>
    <t>Neha</t>
  </si>
  <si>
    <t>ORD1003</t>
  </si>
  <si>
    <t>North</t>
  </si>
  <si>
    <t>Accessories</t>
  </si>
  <si>
    <t>Ravi</t>
  </si>
  <si>
    <t>ORD1004</t>
  </si>
  <si>
    <t>LED Monitor</t>
  </si>
  <si>
    <t>Monitors</t>
  </si>
  <si>
    <t>Cash</t>
  </si>
  <si>
    <t>ORD1005</t>
  </si>
  <si>
    <t>East</t>
  </si>
  <si>
    <t>Priya</t>
  </si>
  <si>
    <t>ORD1006</t>
  </si>
  <si>
    <t>Tablet Plus</t>
  </si>
  <si>
    <t>Tablets</t>
  </si>
  <si>
    <t>ORD1007</t>
  </si>
  <si>
    <t>ORD1008</t>
  </si>
  <si>
    <t>ORD1009</t>
  </si>
  <si>
    <t>ORD1010</t>
  </si>
  <si>
    <t>Total Sales Revenue</t>
  </si>
  <si>
    <t>Total Profit</t>
  </si>
  <si>
    <t>Monthly Sales Trends</t>
  </si>
  <si>
    <t>Best-Selling Products</t>
  </si>
  <si>
    <t>Sales by Region</t>
  </si>
  <si>
    <t>Sales by Category</t>
  </si>
  <si>
    <t>Top Salesperson</t>
  </si>
  <si>
    <t>Profit Margin</t>
  </si>
  <si>
    <t>Discount vs Sales</t>
  </si>
  <si>
    <t>Payment Method Analysis</t>
  </si>
  <si>
    <t>Payment mode</t>
  </si>
  <si>
    <t>Rahul</t>
  </si>
  <si>
    <t>Arjun</t>
  </si>
  <si>
    <t>Karan</t>
  </si>
  <si>
    <t>Meena</t>
  </si>
  <si>
    <t>Rohan</t>
  </si>
  <si>
    <t>Ram</t>
  </si>
  <si>
    <t>Rajat</t>
  </si>
  <si>
    <t>Pooja</t>
  </si>
  <si>
    <t>Speaker</t>
  </si>
  <si>
    <t>Mouse</t>
  </si>
  <si>
    <t>Headsets</t>
  </si>
  <si>
    <t>Smartphone</t>
  </si>
  <si>
    <t>Rajesh</t>
  </si>
  <si>
    <t>HP Laptops</t>
  </si>
  <si>
    <t>Dell Laptops</t>
  </si>
  <si>
    <t>Asus Laptops</t>
  </si>
  <si>
    <t>Average Sales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</si>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</sst>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4" fontId="2" fillId="3" borderId="1" xfId="0" applyNumberFormat="1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horizontal="left" vertical="top" wrapText="1"/>
    </xf>
    <xf numFmtId="0" fontId="0" fillId="3" borderId="1" xfId="0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tabSelected="1" topLeftCell="C1" workbookViewId="0">
      <selection activeCell="K19" sqref="K19"/>
    </sheetView>
  </sheetViews>
  <sheetFormatPr defaultRowHeight="15" x14ac:dyDescent="0.25"/>
  <cols>
    <col min="1" max="2" width="11.42578125" style="1" customWidth="1"/>
    <col min="3" max="3" width="11.5703125" style="1" customWidth="1"/>
    <col min="4" max="4" width="12" style="1" customWidth="1"/>
    <col min="5" max="5" width="13" style="1" customWidth="1"/>
    <col min="6" max="6" width="11.85546875" style="1" customWidth="1"/>
    <col min="7" max="7" width="11.28515625" style="1" customWidth="1"/>
    <col min="8" max="8" width="11.7109375" style="1" customWidth="1"/>
    <col min="9" max="11" width="12.140625" style="1" customWidth="1"/>
    <col min="12" max="12" width="13.85546875" style="1" customWidth="1"/>
    <col min="13" max="13" width="12.5703125" style="1" customWidth="1"/>
    <col min="14" max="14" width="12.28515625" style="1" customWidth="1"/>
    <col min="15" max="16384" width="9.140625" style="1"/>
  </cols>
  <sheetData>
    <row r="1" spans="1:20" ht="30" customHeight="1" x14ac:dyDescent="0.25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50</v>
      </c>
      <c r="M1" s="7" t="s">
        <v>11</v>
      </c>
      <c r="N1" s="8" t="s">
        <v>40</v>
      </c>
      <c r="O1" s="8" t="s">
        <v>67</v>
      </c>
      <c r="P1" s="8" t="s">
        <v>68</v>
      </c>
      <c r="Q1" s="8" t="s">
        <v>47</v>
      </c>
    </row>
    <row r="2" spans="1:20" ht="15.75" customHeight="1" x14ac:dyDescent="0.25">
      <c r="A2" s="3" t="s">
        <v>12</v>
      </c>
      <c r="B2" s="4">
        <v>45662</v>
      </c>
      <c r="C2" s="3" t="s">
        <v>51</v>
      </c>
      <c r="D2" s="3" t="s">
        <v>13</v>
      </c>
      <c r="E2" s="3" t="s">
        <v>66</v>
      </c>
      <c r="F2" s="3" t="s">
        <v>14</v>
      </c>
      <c r="G2" s="3">
        <v>2</v>
      </c>
      <c r="H2" s="3">
        <v>65000</v>
      </c>
      <c r="I2" s="5">
        <v>0.05</v>
      </c>
      <c r="J2" s="3">
        <v>123500</v>
      </c>
      <c r="K2" s="3">
        <v>18500</v>
      </c>
      <c r="L2" s="3" t="s">
        <v>15</v>
      </c>
      <c r="M2" s="3" t="s">
        <v>16</v>
      </c>
      <c r="N2" s="6">
        <f>SUM(J2,K2)</f>
        <v>142000</v>
      </c>
      <c r="O2" s="6">
        <f>AVERAGE(J2,K2)</f>
        <v>71000</v>
      </c>
      <c r="P2" s="6">
        <f>SUM(G2,G11)</f>
        <v>3</v>
      </c>
      <c r="Q2" s="6">
        <f>SUM(K2,K11)/SUM(J2,J11)*100</f>
        <v>15.789473684210526</v>
      </c>
    </row>
    <row r="3" spans="1:20" ht="17.25" customHeight="1" x14ac:dyDescent="0.25">
      <c r="A3" s="3" t="s">
        <v>17</v>
      </c>
      <c r="B3" s="4">
        <v>45665</v>
      </c>
      <c r="C3" s="3" t="s">
        <v>32</v>
      </c>
      <c r="D3" s="3" t="s">
        <v>18</v>
      </c>
      <c r="E3" s="3" t="s">
        <v>59</v>
      </c>
      <c r="F3" s="3" t="s">
        <v>19</v>
      </c>
      <c r="G3" s="3">
        <v>3</v>
      </c>
      <c r="H3" s="3">
        <v>28000</v>
      </c>
      <c r="I3" s="5">
        <v>0.03</v>
      </c>
      <c r="J3" s="3">
        <v>81480</v>
      </c>
      <c r="K3" s="3">
        <v>12480</v>
      </c>
      <c r="L3" s="3" t="s">
        <v>20</v>
      </c>
      <c r="M3" s="3" t="s">
        <v>21</v>
      </c>
      <c r="N3" s="6">
        <f>SUM(J3,K3)</f>
        <v>93960</v>
      </c>
      <c r="O3" s="6">
        <f t="shared" ref="O3:O11" si="0">AVERAGE(J3,K3)</f>
        <v>46980</v>
      </c>
      <c r="P3" s="6">
        <f t="shared" ref="P3:P11" si="1">SUM(G3,G12)</f>
        <v>3</v>
      </c>
      <c r="Q3" s="6">
        <f t="shared" ref="Q3:Q11" si="2">SUM(K3,K12)/SUM(J3,J12)*100</f>
        <v>15.316642120765833</v>
      </c>
    </row>
    <row r="4" spans="1:20" ht="16.5" customHeight="1" x14ac:dyDescent="0.25">
      <c r="A4" s="3" t="s">
        <v>22</v>
      </c>
      <c r="B4" s="4">
        <v>45669</v>
      </c>
      <c r="C4" s="3" t="s">
        <v>52</v>
      </c>
      <c r="D4" s="3" t="s">
        <v>23</v>
      </c>
      <c r="E4" s="3" t="s">
        <v>60</v>
      </c>
      <c r="F4" s="3" t="s">
        <v>24</v>
      </c>
      <c r="G4" s="3">
        <v>10</v>
      </c>
      <c r="H4" s="3">
        <v>1200</v>
      </c>
      <c r="I4" s="5">
        <v>0</v>
      </c>
      <c r="J4" s="3">
        <v>12000</v>
      </c>
      <c r="K4" s="3">
        <v>4000</v>
      </c>
      <c r="L4" s="3" t="s">
        <v>15</v>
      </c>
      <c r="M4" s="3" t="s">
        <v>25</v>
      </c>
      <c r="N4" s="6">
        <f t="shared" ref="N4:N11" si="3">SUM(J4,K4)</f>
        <v>16000</v>
      </c>
      <c r="O4" s="6">
        <f t="shared" si="0"/>
        <v>8000</v>
      </c>
      <c r="P4" s="6">
        <f t="shared" si="1"/>
        <v>10</v>
      </c>
      <c r="Q4" s="6">
        <f t="shared" si="2"/>
        <v>33.333333333333329</v>
      </c>
    </row>
    <row r="5" spans="1:20" ht="17.25" customHeight="1" x14ac:dyDescent="0.25">
      <c r="A5" s="3" t="s">
        <v>26</v>
      </c>
      <c r="B5" s="4">
        <v>45675</v>
      </c>
      <c r="C5" s="3" t="s">
        <v>57</v>
      </c>
      <c r="D5" s="3" t="s">
        <v>13</v>
      </c>
      <c r="E5" s="3" t="s">
        <v>27</v>
      </c>
      <c r="F5" s="3" t="s">
        <v>28</v>
      </c>
      <c r="G5" s="3">
        <v>4</v>
      </c>
      <c r="H5" s="3">
        <v>18000</v>
      </c>
      <c r="I5" s="5">
        <v>0.05</v>
      </c>
      <c r="J5" s="3">
        <v>68400</v>
      </c>
      <c r="K5" s="3">
        <v>12400</v>
      </c>
      <c r="L5" s="3" t="s">
        <v>29</v>
      </c>
      <c r="M5" s="3" t="s">
        <v>16</v>
      </c>
      <c r="N5" s="6">
        <f t="shared" si="3"/>
        <v>80800</v>
      </c>
      <c r="O5" s="6">
        <f t="shared" si="0"/>
        <v>40400</v>
      </c>
      <c r="P5" s="6">
        <f t="shared" si="1"/>
        <v>4</v>
      </c>
      <c r="Q5" s="6">
        <f t="shared" si="2"/>
        <v>18.128654970760234</v>
      </c>
      <c r="T5" t="s">
        <v>40</v>
      </c>
    </row>
    <row r="6" spans="1:20" ht="18" customHeight="1" x14ac:dyDescent="0.25">
      <c r="A6" s="3" t="s">
        <v>30</v>
      </c>
      <c r="B6" s="4">
        <v>45690</v>
      </c>
      <c r="C6" s="3" t="s">
        <v>63</v>
      </c>
      <c r="D6" s="3" t="s">
        <v>31</v>
      </c>
      <c r="E6" s="3" t="s">
        <v>64</v>
      </c>
      <c r="F6" s="3" t="s">
        <v>14</v>
      </c>
      <c r="G6" s="3">
        <v>1</v>
      </c>
      <c r="H6" s="3">
        <v>85000</v>
      </c>
      <c r="I6" s="5">
        <v>7.0000000000000007E-2</v>
      </c>
      <c r="J6" s="3">
        <v>79050</v>
      </c>
      <c r="K6" s="3">
        <v>15050</v>
      </c>
      <c r="L6" s="3" t="s">
        <v>20</v>
      </c>
      <c r="M6" s="3" t="s">
        <v>32</v>
      </c>
      <c r="N6" s="6">
        <f t="shared" si="3"/>
        <v>94100</v>
      </c>
      <c r="O6" s="6">
        <f t="shared" si="0"/>
        <v>47050</v>
      </c>
      <c r="P6" s="6">
        <f t="shared" si="1"/>
        <v>1</v>
      </c>
      <c r="Q6" s="6">
        <f t="shared" si="2"/>
        <v>19.038583175205567</v>
      </c>
      <c r="T6" t="s">
        <v>41</v>
      </c>
    </row>
    <row r="7" spans="1:20" ht="15.75" x14ac:dyDescent="0.25">
      <c r="A7" s="3" t="s">
        <v>33</v>
      </c>
      <c r="B7" s="4">
        <v>45698</v>
      </c>
      <c r="C7" s="3" t="s">
        <v>56</v>
      </c>
      <c r="D7" s="3" t="s">
        <v>18</v>
      </c>
      <c r="E7" s="3" t="s">
        <v>34</v>
      </c>
      <c r="F7" s="3" t="s">
        <v>35</v>
      </c>
      <c r="G7" s="3">
        <v>5</v>
      </c>
      <c r="H7" s="3">
        <v>22000</v>
      </c>
      <c r="I7" s="5">
        <v>0.04</v>
      </c>
      <c r="J7" s="3">
        <v>105600</v>
      </c>
      <c r="K7" s="3">
        <v>20600</v>
      </c>
      <c r="L7" s="3" t="s">
        <v>15</v>
      </c>
      <c r="M7" s="3" t="s">
        <v>21</v>
      </c>
      <c r="N7" s="6">
        <f t="shared" si="3"/>
        <v>126200</v>
      </c>
      <c r="O7" s="6">
        <f t="shared" si="0"/>
        <v>63100</v>
      </c>
      <c r="P7" s="6">
        <f t="shared" si="1"/>
        <v>5</v>
      </c>
      <c r="Q7" s="6">
        <f t="shared" si="2"/>
        <v>19.507575757575758</v>
      </c>
      <c r="T7" t="s">
        <v>42</v>
      </c>
    </row>
    <row r="8" spans="1:20" ht="17.25" customHeight="1" x14ac:dyDescent="0.25">
      <c r="A8" s="3" t="s">
        <v>36</v>
      </c>
      <c r="B8" s="4">
        <v>45703</v>
      </c>
      <c r="C8" s="3" t="s">
        <v>53</v>
      </c>
      <c r="D8" s="3" t="s">
        <v>13</v>
      </c>
      <c r="E8" s="3" t="s">
        <v>61</v>
      </c>
      <c r="F8" s="3" t="s">
        <v>24</v>
      </c>
      <c r="G8" s="3">
        <v>8</v>
      </c>
      <c r="H8" s="3">
        <v>3500</v>
      </c>
      <c r="I8" s="5">
        <v>0.02</v>
      </c>
      <c r="J8" s="3">
        <v>27440</v>
      </c>
      <c r="K8" s="3">
        <v>7440</v>
      </c>
      <c r="L8" s="3" t="s">
        <v>15</v>
      </c>
      <c r="M8" s="3" t="s">
        <v>16</v>
      </c>
      <c r="N8" s="6">
        <f t="shared" si="3"/>
        <v>34880</v>
      </c>
      <c r="O8" s="6">
        <f t="shared" si="0"/>
        <v>17440</v>
      </c>
      <c r="P8" s="6">
        <f t="shared" si="1"/>
        <v>8</v>
      </c>
      <c r="Q8" s="6">
        <f t="shared" si="2"/>
        <v>27.113702623906704</v>
      </c>
      <c r="T8" t="s">
        <v>43</v>
      </c>
    </row>
    <row r="9" spans="1:20" ht="15.75" x14ac:dyDescent="0.25">
      <c r="A9" s="3" t="s">
        <v>37</v>
      </c>
      <c r="B9" s="4">
        <v>45710</v>
      </c>
      <c r="C9" s="3" t="s">
        <v>54</v>
      </c>
      <c r="D9" s="3" t="s">
        <v>23</v>
      </c>
      <c r="E9" s="3" t="s">
        <v>62</v>
      </c>
      <c r="F9" s="3" t="s">
        <v>19</v>
      </c>
      <c r="G9" s="3">
        <v>2</v>
      </c>
      <c r="H9" s="3">
        <v>28000</v>
      </c>
      <c r="I9" s="5">
        <v>0.05</v>
      </c>
      <c r="J9" s="3">
        <v>53200</v>
      </c>
      <c r="K9" s="3">
        <v>9200</v>
      </c>
      <c r="L9" s="3" t="s">
        <v>20</v>
      </c>
      <c r="M9" s="3" t="s">
        <v>25</v>
      </c>
      <c r="N9" s="6">
        <f t="shared" si="3"/>
        <v>62400</v>
      </c>
      <c r="O9" s="6">
        <f t="shared" si="0"/>
        <v>31200</v>
      </c>
      <c r="P9" s="6">
        <f t="shared" si="1"/>
        <v>2</v>
      </c>
      <c r="Q9" s="6">
        <f t="shared" si="2"/>
        <v>17.293233082706767</v>
      </c>
      <c r="T9" t="s">
        <v>44</v>
      </c>
    </row>
    <row r="10" spans="1:20" ht="15.75" x14ac:dyDescent="0.25">
      <c r="A10" s="3" t="s">
        <v>38</v>
      </c>
      <c r="B10" s="4">
        <v>45719</v>
      </c>
      <c r="C10" s="3" t="s">
        <v>55</v>
      </c>
      <c r="D10" s="3" t="s">
        <v>31</v>
      </c>
      <c r="E10" s="3" t="s">
        <v>27</v>
      </c>
      <c r="F10" s="3" t="s">
        <v>28</v>
      </c>
      <c r="G10" s="3">
        <v>6</v>
      </c>
      <c r="H10" s="3">
        <v>18000</v>
      </c>
      <c r="I10" s="5">
        <v>0.03</v>
      </c>
      <c r="J10" s="3">
        <v>104760</v>
      </c>
      <c r="K10" s="3">
        <v>18760</v>
      </c>
      <c r="L10" s="3" t="s">
        <v>15</v>
      </c>
      <c r="M10" s="3" t="s">
        <v>32</v>
      </c>
      <c r="N10" s="6">
        <f t="shared" si="3"/>
        <v>123520</v>
      </c>
      <c r="O10" s="6">
        <f t="shared" si="0"/>
        <v>61760</v>
      </c>
      <c r="P10" s="6">
        <f t="shared" si="1"/>
        <v>6</v>
      </c>
      <c r="Q10" s="6">
        <f t="shared" si="2"/>
        <v>17.907598319969452</v>
      </c>
      <c r="T10" t="s">
        <v>45</v>
      </c>
    </row>
    <row r="11" spans="1:20" ht="20.25" customHeight="1" x14ac:dyDescent="0.25">
      <c r="A11" s="3" t="s">
        <v>39</v>
      </c>
      <c r="B11" s="4">
        <v>45727</v>
      </c>
      <c r="C11" s="3" t="s">
        <v>58</v>
      </c>
      <c r="D11" s="3" t="s">
        <v>18</v>
      </c>
      <c r="E11" s="3" t="s">
        <v>65</v>
      </c>
      <c r="F11" s="3" t="s">
        <v>14</v>
      </c>
      <c r="G11" s="3">
        <v>1</v>
      </c>
      <c r="H11" s="3">
        <v>65000</v>
      </c>
      <c r="I11" s="5">
        <v>0.05</v>
      </c>
      <c r="J11" s="3">
        <v>61750</v>
      </c>
      <c r="K11" s="3">
        <v>10750</v>
      </c>
      <c r="L11" s="3" t="s">
        <v>20</v>
      </c>
      <c r="M11" s="3" t="s">
        <v>21</v>
      </c>
      <c r="N11" s="6">
        <f t="shared" si="3"/>
        <v>72500</v>
      </c>
      <c r="O11" s="6">
        <f t="shared" si="0"/>
        <v>36250</v>
      </c>
      <c r="P11" s="6">
        <f t="shared" si="1"/>
        <v>1</v>
      </c>
      <c r="Q11" s="6">
        <f t="shared" si="2"/>
        <v>17.408906882591094</v>
      </c>
      <c r="T11" t="s">
        <v>46</v>
      </c>
    </row>
    <row r="12" spans="1:20" x14ac:dyDescent="0.25">
      <c r="T12" t="s">
        <v>47</v>
      </c>
    </row>
    <row r="13" spans="1:20" x14ac:dyDescent="0.25">
      <c r="T13" t="s">
        <v>48</v>
      </c>
    </row>
    <row r="14" spans="1:20" x14ac:dyDescent="0.25">
      <c r="T14" t="s">
        <v>49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2026-07-21T12:49:48Z</dcterms:created>
  <dcterms:modified xsi:type="dcterms:W3CDTF">2026-07-21T13:48:02Z</dcterms:modified>
</cp:coreProperties>
</file>